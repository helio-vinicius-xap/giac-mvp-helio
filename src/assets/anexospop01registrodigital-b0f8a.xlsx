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oes" sheetId="1" r:id="rId1"/>
    <sheet name="FR08_Recebimento" sheetId="2" r:id="rId2"/>
    <sheet name="FR14_ListaFornecedores" sheetId="3" r:id="rId3"/>
    <sheet name="FR15_TempUmidade" sheetId="4" r:id="rId4"/>
    <sheet name="FR16_Qualificacao" sheetId="5" r:id="rId5"/>
    <sheet name="FR18_Descarte" sheetId="6" r:id="rId6"/>
    <sheet name="FR19_Verificacao" sheetId="7" r:id="rId7"/>
    <sheet name="IT14_AnaliseMP" sheetId="8" r:id="rId8"/>
    <sheet name="A8_ChecklistAuditoria" sheetId="9" r:id="rId9"/>
    <sheet name="A9_MatrizRisco" sheetId="10" r:id="rId10"/>
    <sheet name="A10_Declaracao" sheetId="11" r:id="rId11"/>
    <sheet name="FR01_RNC" sheetId="12" r:id="rId12"/>
    <sheet name="PAINEL_Indicadore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{{EMPRESA}} — SISTEMA DE GESTÃO DO AUTOCONTROLE (BPF)</v>
      </c>
    </row>
    <row r="2">
      <c r="A2" t="str">
        <v>INSTRUÇÕES</v>
      </c>
    </row>
    <row r="3">
      <c r="A3" t="str">
        <v>ANEXO 00 · Revisão {{REVISAO}} · Data de Vigor: {{DATA_VIGOR}} · DOCUMENTO DE CIRCULAÇÃO INTERNA</v>
      </c>
    </row>
    <row r="5">
      <c r="A5" t="str">
        <v>OBJETIVO DA PLANILHA</v>
      </c>
      <c r="B5" t="str">
        <v>Este arquivo reúne, em abas individuais, os formulários e registros do POP 01 – Qualificação de Fornecedores e Controle de Matérias-Primas, Ingredientes e de Embalagens, destinados ao registro digital no sistema de autocontrole (BPF) de um estabelecimento fabricante de produtos destinados à alimentação animal (ração e suplementos). Permite o registro rastreável e auditável dos recebimentos, qualificações, monitoramentos e não conformidades exigidos pelo controle oficial.</v>
      </c>
    </row>
    <row r="6">
      <c r="A6" t="str">
        <v>LISTA DE ABAS</v>
      </c>
      <c r="B6" t="str">
        <v>1. Instruções · 2. FR08_Recebimento – Registro de Recebimento · 3. FR14_ListaFornecedores – Lista de Fornecedores Qualificados · 4. FR15_TempUmidade – Monitoramento de Temperatura e Umidade · 5. FR16_Qualificacao – Qualificação de Fornecedores · 6. FR18_Descarte – Solicitação de Descarte · 7. FR19_Verificacao – Verificação Anual de Qualificação · 8. IT14_AnaliseMP – Análise de Matérias-Primas · 9. A8_ChecklistAuditoria – Auditoria a Fornecedores · 10. A9_MatrizRisco – Matriz de Risco (APPCC) · 11. A10_Declaracao – Declaração de Conformidade · 12. FR01_RNC – Registro de Não Conformidade</v>
      </c>
    </row>
    <row r="7">
      <c r="A7" t="str">
        <v>FUNDAMENTAÇÃO LEGAL</v>
      </c>
      <c r="B7" t="str">
        <v>Decreto nº 12.031/2024 (regulamentação de produtos destinados à alimentação animal e programa de BPF/autocontrole); IN MAPA nº 04/2007 (normas de fiscalização); Manual de Fiscalização de Autocontroles – Módulo I (itens 19 a 22); Manual de Caracterização de Risco (critérios de classificação de risco dos insumos).</v>
      </c>
    </row>
    <row r="8">
      <c r="A8" t="str">
        <v>INSTRUÇÕES DE PREENCHIMENTO</v>
      </c>
      <c r="B8" t="str">
        <v>1. Preencher somente os campos em branco; não alterar as células protegidas de título e de cabeçalho. 2. Selecionar as opções disponíveis nos campos com lista suspensa (dropdown). 3. Os registros digitais devem ficar permanentemente disponíveis à fiscalização, conforme item 20 do Manual de Fiscalização de Autocontroles. 4. Cada registro deve ser preenchido por responsável identificado (assinatura/visto) e datado. 5. Em caso de desvio, registrar as justificativas e acionar o fluxo de Não Conformidade (FR 01).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{{EMPRESA}} — SISTEMA DE GESTÃO DO AUTOCONTROLE (BPF)</v>
      </c>
    </row>
    <row r="2">
      <c r="A2" t="str">
        <v>REGISTRO DE RECEBIMENTO DE MERCADORIAS</v>
      </c>
    </row>
    <row r="3">
      <c r="A3" t="str">
        <v>FR 08 · Revisão {{REVISAO}} · Data de Vigor: {{DATA_VIGOR}} · DOCUMENTO DE CIRCULAÇÃO INTERNA</v>
      </c>
    </row>
    <row r="5">
      <c r="A5" t="str">
        <v>Data de Recebimento</v>
      </c>
    </row>
    <row r="6">
      <c r="A6" t="str">
        <v>Horário</v>
      </c>
    </row>
    <row r="7">
      <c r="A7" t="str">
        <v>Razão Social do Fornecedor</v>
      </c>
    </row>
    <row r="8">
      <c r="A8" t="str">
        <v>Razão Social do Fabricante</v>
      </c>
    </row>
    <row r="9">
      <c r="A9" t="str">
        <v>Nota Fiscal nº</v>
      </c>
    </row>
    <row r="10">
      <c r="A10" t="str">
        <v>Transportadora</v>
      </c>
    </row>
    <row r="11">
      <c r="A11" t="str">
        <v>Placa do Veículo</v>
      </c>
    </row>
    <row r="12">
      <c r="A12" t="str">
        <v>Tipo de Veículo</v>
      </c>
    </row>
    <row r="13">
      <c r="A13" t="str">
        <v>Produto/Insumo</v>
      </c>
    </row>
    <row r="14">
      <c r="A14" t="str">
        <v>Lote do Fornecedor</v>
      </c>
    </row>
    <row r="15">
      <c r="A15" t="str">
        <v>Lote Interno Atribuído</v>
      </c>
    </row>
    <row r="16">
      <c r="A16" t="str">
        <v>Data de Fabricação</v>
      </c>
    </row>
    <row r="17">
      <c r="A17" t="str">
        <v>Data de Validade</v>
      </c>
    </row>
    <row r="18">
      <c r="A18" t="str">
        <v>Peso em Nota Fiscal (kg)</v>
      </c>
    </row>
    <row r="19">
      <c r="A19" t="str">
        <v>Peso Aferido na Balança (kg)</v>
      </c>
    </row>
    <row r="20">
      <c r="A20" t="str">
        <v>Variação de Peso (%)</v>
      </c>
      <c r="B20">
        <f>IF(B19=0,"",ROUND((B19-B18)/B18*100,2))</f>
        <v>0</v>
      </c>
    </row>
    <row r="21">
      <c r="A21" t="str">
        <v>Nº de Volumes/Sacos</v>
      </c>
    </row>
    <row r="22">
      <c r="A22" t="str">
        <v>CHECKLIST DE INSPEÇÃO DO VEÍCULO E DA CARGA</v>
      </c>
    </row>
    <row r="23">
      <c r="A23" t="str">
        <v>Item</v>
      </c>
      <c r="B23" t="str">
        <v>Descrição</v>
      </c>
      <c r="C23" t="str">
        <v>C</v>
      </c>
      <c r="D23" t="str">
        <v>NC</v>
      </c>
      <c r="E23" t="str">
        <v>NA</v>
      </c>
      <c r="F23" t="str">
        <v>Observações</v>
      </c>
    </row>
    <row r="24">
      <c r="A24">
        <v>1</v>
      </c>
      <c r="B24" t="str">
        <v>Condições de higiene e limpeza do compartimento de carga</v>
      </c>
    </row>
    <row r="25">
      <c r="A25">
        <v>2</v>
      </c>
      <c r="B25" t="str">
        <v>Integridade da carroceria, teto e assoalho</v>
      </c>
    </row>
    <row r="26">
      <c r="A26">
        <v>3</v>
      </c>
      <c r="B26" t="str">
        <v>Lona de cobertura limpa, impermeável, sem rasgos e fixada</v>
      </c>
    </row>
    <row r="27">
      <c r="A27">
        <v>4</v>
      </c>
      <c r="B27" t="str">
        <v>Ausência de cargas incompatíveis (produtos químicos, animais, resíduos)</v>
      </c>
    </row>
    <row r="28">
      <c r="A28">
        <v>5</v>
      </c>
      <c r="B28" t="str">
        <v>Embalagens íntegras, limpas, sem vazamentos e paletizadas</v>
      </c>
    </row>
    <row r="29">
      <c r="A29">
        <v>6</v>
      </c>
      <c r="B29" t="str">
        <v>Rotulagem completa conforme o Decreto nº 12.031/2024 (Registro MAPA, lote, composição, prazos, advertências)</v>
      </c>
    </row>
    <row r="30">
      <c r="A30">
        <v>7</v>
      </c>
      <c r="B30" t="str">
        <v>Fornecedor e produto constam como QUALIFICADOS E ATIVOS na Lista FR 14</v>
      </c>
    </row>
    <row r="31">
      <c r="A31">
        <v>8</v>
      </c>
      <c r="B31" t="str">
        <v>Itens conforme (checklist)</v>
      </c>
      <c r="C31">
        <f>COUNTIF(C24:E30,"C")</f>
        <v>0</v>
      </c>
    </row>
    <row r="32">
      <c r="A32" t="str">
        <v>AVALIAÇÃO SENSORIAL</v>
      </c>
    </row>
    <row r="33">
      <c r="A33" t="str">
        <v>Atributo</v>
      </c>
      <c r="B33" t="str">
        <v>Padrão Esperado</v>
      </c>
      <c r="C33" t="str">
        <v>Resultado Observado</v>
      </c>
      <c r="D33" t="str">
        <v>Parecer</v>
      </c>
    </row>
    <row r="34">
      <c r="A34" t="str">
        <v>Cor</v>
      </c>
      <c r="B34" t="str">
        <v>Característica do produto</v>
      </c>
      <c r="C34" t="str">
        <v/>
      </c>
      <c r="D34" t="str">
        <v/>
      </c>
    </row>
    <row r="35">
      <c r="A35" t="str">
        <v>Odor</v>
      </c>
      <c r="B35" t="str">
        <v>Característico, sem odor de mofo/decomposição</v>
      </c>
      <c r="C35" t="str">
        <v/>
      </c>
      <c r="D35" t="str">
        <v/>
      </c>
    </row>
    <row r="36">
      <c r="A36" t="str">
        <v>Aspecto/Textura</v>
      </c>
      <c r="B36" t="str">
        <v>Uniforme, sem aglomerações</v>
      </c>
      <c r="C36" t="str">
        <v/>
      </c>
      <c r="D36" t="str">
        <v/>
      </c>
    </row>
    <row r="37">
      <c r="A37" t="str">
        <v>Umidade Visível</v>
      </c>
      <c r="B37" t="str">
        <v>Ausente</v>
      </c>
      <c r="C37" t="str">
        <v/>
      </c>
      <c r="D37" t="str">
        <v/>
      </c>
    </row>
    <row r="38">
      <c r="A38" t="str">
        <v>Presença de Insetos/Pragas/Sujidades</v>
      </c>
      <c r="B38" t="str">
        <v>Ausente</v>
      </c>
      <c r="C38" t="str">
        <v/>
      </c>
      <c r="D38" t="str">
        <v/>
      </c>
    </row>
    <row r="39">
      <c r="A39" t="str">
        <v>PARECER FINAL DO RECEBIMENTO</v>
      </c>
    </row>
    <row r="40">
      <c r="A40" t="str">
        <v>Observações/Justificativas de Desvios</v>
      </c>
    </row>
    <row r="41">
      <c r="A41" t="str">
        <v>Responsável pelo Recebimento (assinatura)</v>
      </c>
    </row>
    <row r="42">
      <c r="A42" t="str">
        <v>Vista do Controle da Qualidade (assinatura)</v>
      </c>
    </row>
  </sheetData>
  <ignoredErrors>
    <ignoredError numberStoredAsText="1" sqref="A1:F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tr">
        <v>{{EMPRESA}} — SISTEMA DE GESTÃO DO AUTOCONTROLE (BPF)</v>
      </c>
    </row>
    <row r="2">
      <c r="A2" t="str">
        <v>LISTA DE FORNECEDORES E FABRICANTES QUALIFICADOS</v>
      </c>
    </row>
    <row r="3">
      <c r="A3" t="str">
        <v>FR 14 · Revisão {{REVISAO}} · Data de Vigor: {{DATA_VIGOR}} · DOCUMENTO DE CIRCULAÇÃO INTERNA</v>
      </c>
    </row>
    <row r="5">
      <c r="A5" t="str">
        <v>Código</v>
      </c>
      <c r="B5" t="str">
        <v>Matéria-Prima/Insumo</v>
      </c>
      <c r="C5" t="str">
        <v>Razão Social do Fabricante/Fornecedor</v>
      </c>
      <c r="D5" t="str">
        <v>Registro Estabelecimento MAPA</v>
      </c>
      <c r="E5" t="str">
        <v>Registro/Cadastro Produto</v>
      </c>
      <c r="F5" t="str">
        <v>Risco do Insumo</v>
      </c>
      <c r="G5" t="str">
        <v>Validade da Qualificação</v>
      </c>
      <c r="H5" t="str">
        <v>Status Cadastral</v>
      </c>
      <c r="I5" t="str">
        <v>Resumo</v>
      </c>
    </row>
    <row r="6">
      <c r="A6" t="str">
        <v>014</v>
      </c>
      <c r="B6" t="str">
        <v>Farelo de Soja 46%</v>
      </c>
      <c r="C6" t="str">
        <v>Agroindustrial Soja Brasil Ltda</v>
      </c>
      <c r="D6" t="str">
        <v>SP-001234-5</v>
      </c>
      <c r="E6" t="str">
        <v>Isento (Norma Comp.)</v>
      </c>
      <c r="F6" t="str">
        <v>Médio</v>
      </c>
      <c r="G6" t="str">
        <v>2027-10-08T03:06:28.000Z</v>
      </c>
      <c r="H6" t="str">
        <v>Ativo</v>
      </c>
      <c r="I6" t="str">
        <v>Qualificados ativos</v>
      </c>
      <c r="J6">
        <f>COUNTIF(H6:H15,"Ativo")</f>
        <v>0</v>
      </c>
    </row>
    <row r="7">
      <c r="A7" t="str">
        <v>027</v>
      </c>
      <c r="B7" t="str">
        <v>Milho Moído Integral</v>
      </c>
      <c r="C7" t="str">
        <v>Cooperativa Agropecuária Central</v>
      </c>
      <c r="D7" t="str">
        <v>PR-005678-9</v>
      </c>
      <c r="E7" t="str">
        <v>Isento (Norma Comp.)</v>
      </c>
      <c r="F7" t="str">
        <v>Alto (Micotoxinas)</v>
      </c>
      <c r="G7" t="str">
        <v>15/05/2027</v>
      </c>
      <c r="H7" t="str">
        <v>Ativo</v>
      </c>
      <c r="I7" t="str">
        <v>Linhas cadastradas</v>
      </c>
      <c r="J7">
        <f>COUNTA(B6:B15)</f>
        <v>0</v>
      </c>
    </row>
    <row r="8">
      <c r="A8" t="str">
        <v>031</v>
      </c>
      <c r="B8" t="str">
        <v>Farinha de Carne e Ossos 45%</v>
      </c>
      <c r="C8" t="str">
        <v>Rendering Proteínas do Brasil S/A</v>
      </c>
      <c r="D8" t="str">
        <v>MG-009876-1</v>
      </c>
      <c r="E8" t="str">
        <v>MG-009876-1.00001</v>
      </c>
      <c r="F8" t="str">
        <v>Alto (Microbiol./EEB)</v>
      </c>
      <c r="G8" t="str">
        <v>20/11/2026</v>
      </c>
      <c r="H8" t="str">
        <v>Ativo</v>
      </c>
    </row>
    <row r="9">
      <c r="A9" t="str">
        <v>048</v>
      </c>
      <c r="B9" t="str">
        <v>Vitamina A 1.000.000 UI/g</v>
      </c>
      <c r="C9" t="str">
        <v>Nutrição Animal Global Importadora</v>
      </c>
      <c r="D9" t="str">
        <v>SC-004321-0</v>
      </c>
      <c r="E9" t="str">
        <v>Cadastrado MAPA</v>
      </c>
      <c r="F9" t="str">
        <v>Médio</v>
      </c>
      <c r="G9" t="str">
        <v>2027-12-03T03:06:28.000Z</v>
      </c>
      <c r="H9" t="str">
        <v>Ativo</v>
      </c>
    </row>
    <row r="10">
      <c r="A10" t="str">
        <v>052</v>
      </c>
      <c r="B10" t="str">
        <v>Saco Multifolhado 25 kg</v>
      </c>
      <c r="C10" t="str">
        <v>Embalagens Industriais Paulistas S/A</v>
      </c>
      <c r="D10" t="str">
        <v>Dispensado (Embalagem)</v>
      </c>
      <c r="E10" t="str">
        <v>Especificação Técnica</v>
      </c>
      <c r="F10" t="str">
        <v>Baixo</v>
      </c>
      <c r="G10" t="str">
        <v>30/09/2027</v>
      </c>
      <c r="H10" t="str">
        <v>Ativo</v>
      </c>
    </row>
    <row r="21">
      <c r="A21" t="str">
        <v>📌 Nota 1 (Exceções de Registro): Aminoácidos, vitaminas e minerais puros importados dispensados de registro seguem cadastro obrigatório no sistema informatizado do MAPA.</v>
      </c>
    </row>
    <row r="22">
      <c r="A22" t="str">
        <v>📌 Nota 2 (Ractopamina): Fornecedores de insumos para cadeias livres de promotores de crescimento devem constar validados na lista específica do MAPA.</v>
      </c>
    </row>
  </sheetData>
  <ignoredErrors>
    <ignoredError numberStoredAsText="1" sqref="A1:J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Data>
    <row r="1">
      <c r="A1" t="str">
        <v>{{EMPRESA}} — SISTEMA DE GESTÃO DO AUTOCONTROLE (BPF)</v>
      </c>
    </row>
    <row r="2">
      <c r="A2" t="str">
        <v>MONITORAMENTO DIÁRIO DE TEMPERATURA E UMIDADE</v>
      </c>
    </row>
    <row r="3">
      <c r="A3" t="str">
        <v>FR 15 · Revisão {{REVISAO}} · Data de Vigor: {{DATA_VIGOR}} · DOCUMENTO DE CIRCULAÇÃO INTERNA</v>
      </c>
    </row>
    <row r="5">
      <c r="A5" t="str">
        <v>Mês/Ano de Referência</v>
      </c>
      <c r="E5" t="str">
        <v>Local Monitorado</v>
      </c>
    </row>
    <row r="6">
      <c r="A6" t="str">
        <v>Dia</v>
      </c>
      <c r="B6" t="str">
        <v>Hora</v>
      </c>
      <c r="C6" t="str">
        <v>Temp. Atual (°C)</v>
      </c>
      <c r="D6" t="str">
        <v>Temp. Mínima (°C)</v>
      </c>
      <c r="E6" t="str">
        <v>Temp. Máxima (°C)</v>
      </c>
      <c r="F6" t="str">
        <v>UR Atual (%)</v>
      </c>
      <c r="G6" t="str">
        <v>UR Mínima (%)</v>
      </c>
      <c r="H6" t="str">
        <v>UR Máxima (%)</v>
      </c>
      <c r="I6" t="str">
        <v>Conforme</v>
      </c>
      <c r="J6" t="str">
        <v>Visto/Assinatura</v>
      </c>
    </row>
    <row r="7">
      <c r="A7">
        <v>1</v>
      </c>
    </row>
    <row r="8">
      <c r="A8">
        <v>2</v>
      </c>
    </row>
    <row r="9">
      <c r="A9">
        <v>3</v>
      </c>
    </row>
    <row r="10">
      <c r="A10">
        <v>4</v>
      </c>
    </row>
    <row r="11">
      <c r="A11">
        <v>5</v>
      </c>
    </row>
    <row r="12">
      <c r="A12">
        <v>6</v>
      </c>
    </row>
    <row r="13">
      <c r="A13">
        <v>7</v>
      </c>
    </row>
    <row r="14">
      <c r="A14">
        <v>8</v>
      </c>
    </row>
    <row r="15">
      <c r="A15">
        <v>9</v>
      </c>
    </row>
    <row r="16">
      <c r="A16">
        <v>10</v>
      </c>
    </row>
    <row r="17">
      <c r="A17">
        <v>11</v>
      </c>
    </row>
    <row r="18">
      <c r="A18">
        <v>12</v>
      </c>
    </row>
    <row r="19">
      <c r="A19">
        <v>13</v>
      </c>
    </row>
    <row r="20">
      <c r="A20">
        <v>14</v>
      </c>
    </row>
    <row r="21">
      <c r="A21">
        <v>15</v>
      </c>
    </row>
    <row r="22">
      <c r="A22">
        <v>16</v>
      </c>
    </row>
    <row r="23">
      <c r="A23">
        <v>17</v>
      </c>
    </row>
    <row r="24">
      <c r="A24">
        <v>18</v>
      </c>
    </row>
    <row r="25">
      <c r="A25">
        <v>19</v>
      </c>
    </row>
    <row r="26">
      <c r="A26">
        <v>20</v>
      </c>
    </row>
    <row r="27">
      <c r="A27">
        <v>21</v>
      </c>
    </row>
    <row r="28">
      <c r="A28">
        <v>22</v>
      </c>
    </row>
    <row r="29">
      <c r="A29">
        <v>23</v>
      </c>
    </row>
    <row r="30">
      <c r="A30">
        <v>24</v>
      </c>
    </row>
    <row r="31">
      <c r="A31">
        <v>25</v>
      </c>
    </row>
    <row r="32">
      <c r="A32">
        <v>26</v>
      </c>
    </row>
    <row r="33">
      <c r="A33">
        <v>27</v>
      </c>
    </row>
    <row r="34">
      <c r="A34">
        <v>28</v>
      </c>
    </row>
    <row r="35">
      <c r="A35">
        <v>29</v>
      </c>
    </row>
    <row r="36">
      <c r="A36">
        <v>30</v>
      </c>
    </row>
    <row r="37">
      <c r="A37">
        <v>31</v>
      </c>
    </row>
    <row r="38">
      <c r="A38" t="str">
        <v>Limites: Sala de Medicamentos 15–25 °C; Armazéns &lt; 35 °C; UR máxima 85%.</v>
      </c>
    </row>
    <row r="39">
      <c r="A39" t="str">
        <v>VERIFICAÇÃO MENSAL DA GARANTIA DA QUALIDADE</v>
      </c>
    </row>
    <row r="40">
      <c r="A40" t="str">
        <v>Data da verificação</v>
      </c>
    </row>
    <row r="41">
      <c r="A41" t="str">
        <v>Parecer</v>
      </c>
    </row>
    <row r="42">
      <c r="A42" t="str">
        <v>Assinatura do Coordenador do CQ</v>
      </c>
    </row>
  </sheetData>
  <ignoredErrors>
    <ignoredError numberStoredAsText="1" sqref="A1:J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Data>
    <row r="1">
      <c r="A1" t="str">
        <v>{{EMPRESA}} — SISTEMA DE GESTÃO DO AUTOCONTROLE (BPF)</v>
      </c>
    </row>
    <row r="2">
      <c r="A2" t="str">
        <v>FORMULÁRIO DE QUALIFICAÇÃO DE FORNECEDORES</v>
      </c>
    </row>
    <row r="3">
      <c r="A3" t="str">
        <v>FR 16 · Revisão {{REVISAO}} · Data de Vigor: {{DATA_VIGOR}} · DOCUMENTO DE CIRCULAÇÃO INTERNA</v>
      </c>
    </row>
    <row r="5">
      <c r="A5" t="str">
        <v>DADOS CADASTRAIS DA EMPRESA PROPONENTE</v>
      </c>
    </row>
    <row r="6">
      <c r="A6" t="str">
        <v>Razão Social</v>
      </c>
    </row>
    <row r="7">
      <c r="A7" t="str">
        <v>Nome Fantasia</v>
      </c>
    </row>
    <row r="8">
      <c r="A8" t="str">
        <v>CNPJ</v>
      </c>
    </row>
    <row r="9">
      <c r="A9" t="str">
        <v>Inscrição Estadual</v>
      </c>
    </row>
    <row r="10">
      <c r="A10" t="str">
        <v>Registro Estabelecimento MAPA</v>
      </c>
    </row>
    <row r="11">
      <c r="A11" t="str">
        <v>Endereço Completo</v>
      </c>
    </row>
    <row r="12">
      <c r="A12" t="str">
        <v>UF</v>
      </c>
    </row>
    <row r="13">
      <c r="A13" t="str">
        <v>Responsável Técnico</v>
      </c>
    </row>
    <row r="14">
      <c r="A14" t="str">
        <v>Registro de Classe</v>
      </c>
    </row>
    <row r="15">
      <c r="A15" t="str">
        <v>DADOS DO PRODUTO/INSUMO</v>
      </c>
    </row>
    <row r="16">
      <c r="A16" t="str">
        <v>Denominação Comercial</v>
      </c>
    </row>
    <row r="17">
      <c r="A17" t="str">
        <v>Nº Registro/Cadastro no MAPA</v>
      </c>
    </row>
    <row r="18">
      <c r="A18" t="str">
        <v>Categoria</v>
      </c>
    </row>
    <row r="19">
      <c r="A19" t="str">
        <v>Classificação de Risco APPCC</v>
      </c>
    </row>
    <row r="20">
      <c r="A20" t="str">
        <v>CHECKLIST DOCUMENTAL MANDATÓRIO (CRITÉRIOS LIMITANTES)</v>
      </c>
    </row>
    <row r="21">
      <c r="A21" t="str">
        <v>Item</v>
      </c>
      <c r="B21" t="str">
        <v>Documento</v>
      </c>
      <c r="C21" t="str">
        <v>Apresentado</v>
      </c>
      <c r="D21" t="str">
        <v>Vigência/Número</v>
      </c>
      <c r="E21" t="str">
        <v>Parecer</v>
      </c>
      <c r="F21" t="str">
        <v/>
      </c>
      <c r="G21" t="str">
        <v/>
      </c>
      <c r="H21" t="str">
        <v/>
      </c>
    </row>
    <row r="22">
      <c r="A22">
        <v>1</v>
      </c>
      <c r="B22" t="str">
        <v>Cópia do Título de Registro de Estabelecimento no MAPA atualizado e em vigor</v>
      </c>
    </row>
    <row r="23">
      <c r="A23">
        <v>2</v>
      </c>
      <c r="B23" t="str">
        <v>Certificado de Registro de Produto ou Comprovante de Cadastro no MAPA / Isenção legal</v>
      </c>
    </row>
    <row r="24">
      <c r="A24">
        <v>3</v>
      </c>
      <c r="B24" t="str">
        <v>Ficha Técnica com níveis de garantia, composição, restrições e prazo de validade</v>
      </c>
    </row>
    <row r="25">
      <c r="A25">
        <v>4</v>
      </c>
      <c r="B25" t="str">
        <v>Declaração de Conformidade e ausência de substâncias proibidas assinada pelo RT (Anexo A10)</v>
      </c>
    </row>
    <row r="26">
      <c r="A26">
        <v>5</v>
      </c>
      <c r="B26" t="str">
        <v>Comprovação de aptidão para fornecimento livre de ractopamina (quando aplicável)</v>
      </c>
    </row>
    <row r="27">
      <c r="A27">
        <v>6</v>
      </c>
      <c r="B27" t="str">
        <v>Certificados de análise oficiais dos 3 últimos lotes produzidos</v>
      </c>
    </row>
    <row r="28">
      <c r="A28" t="str">
        <v>RESULTADO DA AVALIAÇÃO ANALÍTICA DA AMOSTRA PILOTO</v>
      </c>
    </row>
    <row r="29">
      <c r="A29" t="str">
        <v>Laudo Laboratorial nº</v>
      </c>
    </row>
    <row r="30">
      <c r="A30" t="str">
        <v>Data</v>
      </c>
    </row>
    <row r="31">
      <c r="A31" t="str">
        <v>Resultado</v>
      </c>
    </row>
    <row r="32">
      <c r="A32" t="str">
        <v>Parâmetros avaliados (Umidade %, PB %, Cinzas %, Microscopia)</v>
      </c>
    </row>
    <row r="33">
      <c r="A33" t="str">
        <v>PARECER CONCLUSIVO DA COMISSÃO DE QUALIFICAÇÃO</v>
      </c>
    </row>
    <row r="34">
      <c r="A34" t="str">
        <v>Parecer</v>
      </c>
    </row>
    <row r="35">
      <c r="A35" t="str">
        <v>Restrições/Observações</v>
      </c>
    </row>
    <row r="36">
      <c r="A36" t="str">
        <v>Coordenador do CQ (assinatura + data)</v>
      </c>
    </row>
    <row r="37">
      <c r="A37" t="str">
        <v>Responsável Técnico (assinatura + data)</v>
      </c>
    </row>
  </sheetData>
  <ignoredErrors>
    <ignoredError numberStoredAsText="1" sqref="A1:H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{{EMPRESA}} — SISTEMA DE GESTÃO DO AUTOCONTROLE (BPF)</v>
      </c>
    </row>
    <row r="2">
      <c r="A2" t="str">
        <v>SOLICITAÇÃO DE DESCARTE DE INSUMOS E PRODUTOS</v>
      </c>
    </row>
    <row r="3">
      <c r="A3" t="str">
        <v>FR 18 · Revisão {{REVISAO}} · Data de Vigor: {{DATA_VIGOR}} · DOCUMENTO DE CIRCULAÇÃO INTERNA</v>
      </c>
    </row>
    <row r="5">
      <c r="A5" t="str">
        <v>Motivo do Descarte</v>
      </c>
    </row>
    <row r="6">
      <c r="A6" t="str">
        <v>Item</v>
      </c>
      <c r="B6" t="str">
        <v>Descrição da Matéria-Prima/Produto</v>
      </c>
      <c r="C6" t="str">
        <v>Lote Interno</v>
      </c>
      <c r="D6" t="str">
        <v>Lote Fornecedor</v>
      </c>
      <c r="E6" t="str">
        <v>Qtd (kg/un)</v>
      </c>
      <c r="F6" t="str">
        <v>Local de Descarte/Destinação</v>
      </c>
      <c r="G6" t="str">
        <v>Data de Execução</v>
      </c>
    </row>
    <row r="7">
      <c r="A7">
        <v>1</v>
      </c>
      <c r="B7" t="str">
        <v>Núcleo Mineral Confinamento</v>
      </c>
      <c r="C7" t="str">
        <v>L-260105</v>
      </c>
      <c r="D7" t="str">
        <v>NUC-9988</v>
      </c>
      <c r="E7" t="str">
        <v>450 kg</v>
      </c>
      <c r="F7" t="str">
        <v>Compostagem Licenciada/Aterro Ind.</v>
      </c>
      <c r="G7" t="str">
        <v>2026-12-09T03:06:28.000Z</v>
      </c>
    </row>
    <row r="8">
      <c r="A8">
        <v>2</v>
      </c>
      <c r="B8" t="str">
        <v>Farinha de Vísceras de Frango</v>
      </c>
      <c r="C8" t="str">
        <v>L-260214</v>
      </c>
      <c r="D8" t="str">
        <v>FV-4411</v>
      </c>
      <c r="E8" t="str">
        <v>1.200 kg</v>
      </c>
      <c r="F8" t="str">
        <v>Incineração/Destruição Controlada</v>
      </c>
      <c r="G8" t="str">
        <v>14/09/2026</v>
      </c>
    </row>
    <row r="11">
      <c r="B11" t="str">
        <v>Lançamentos na tabela</v>
      </c>
      <c r="C11">
        <f>COUNTA(B7:B16)</f>
        <v>0</v>
      </c>
    </row>
    <row r="17">
      <c r="A17" t="str">
        <v>PARECER TÉCNICO E AMBIENTAL</v>
      </c>
    </row>
    <row r="18">
      <c r="A18" t="str">
        <v>"Os produtos acima discriminados foram descaracterizados e descartados em conformidade com as normas sanitárias e ambientais vigentes, não havendo qualquer possibilidade de reaproveitamento na alimentação animal."</v>
      </c>
    </row>
    <row r="19">
      <c r="A19" t="str">
        <v>Encarregado do Almoxarifado/CQ (assinatura)</v>
      </c>
    </row>
    <row r="20">
      <c r="A20" t="str">
        <v>Responsável Técnico (assinatura)</v>
      </c>
    </row>
  </sheetData>
  <ignoredErrors>
    <ignoredError numberStoredAsText="1" sqref="A1:G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{{EMPRESA}} — SISTEMA DE GESTÃO DO AUTOCONTROLE (BPF)</v>
      </c>
    </row>
    <row r="2">
      <c r="A2" t="str">
        <v>VERIFICAÇÃO ANUAL DOS CRITÉRIOS DE QUALIFICAÇÃO</v>
      </c>
    </row>
    <row r="3">
      <c r="A3" t="str">
        <v>FR 19 · Revisão {{REVISAO}} · Data de Vigor: {{DATA_VIGOR}} · DOCUMENTO DE CIRCULAÇÃO INTERNA</v>
      </c>
    </row>
    <row r="5">
      <c r="A5" t="str">
        <v>Razão Social do Fornecedor</v>
      </c>
    </row>
    <row r="6">
      <c r="A6" t="str">
        <v>Código FR 14</v>
      </c>
    </row>
    <row r="7">
      <c r="A7" t="str">
        <v>Insumos Fornecidos</v>
      </c>
    </row>
    <row r="8">
      <c r="A8" t="str">
        <v>Data da Avaliação</v>
      </c>
    </row>
    <row r="9">
      <c r="A9" t="str">
        <v>Situação</v>
      </c>
      <c r="B9" t="str">
        <v>Situação</v>
      </c>
      <c r="C9" t="str">
        <v>Observações/Justificativas</v>
      </c>
      <c r="D9" t="str">
        <v/>
      </c>
      <c r="E9" t="str">
        <v/>
      </c>
      <c r="F9" t="str">
        <v/>
      </c>
    </row>
    <row r="10">
      <c r="A10">
        <v>1</v>
      </c>
      <c r="B10" t="str">
        <v>Registro do estabelecimento no MAPA permanece vigente e sem penalidades suspensivas?</v>
      </c>
      <c r="F10" t="str">
        <v/>
      </c>
    </row>
    <row r="11">
      <c r="A11">
        <v>2</v>
      </c>
      <c r="B11" t="str">
        <v>Registros e cadastros dos produtos fornecidos permanecem regulares e atualizados?</v>
      </c>
      <c r="F11" t="str">
        <v/>
      </c>
    </row>
    <row r="12">
      <c r="A12">
        <v>3</v>
      </c>
      <c r="B12" t="str">
        <v>Índice de Não Conformidades de recebimento no ano foi inferior à meta de 1,5%?</v>
      </c>
      <c r="F12" t="str">
        <v/>
      </c>
    </row>
    <row r="13">
      <c r="A13">
        <v>4</v>
      </c>
      <c r="B13" t="str">
        <v>Rotulagem dos produtos recebidos permaneceu 100% conforme Decreto nº 12.031/2024?</v>
      </c>
      <c r="F13" t="str">
        <v/>
      </c>
    </row>
    <row r="14">
      <c r="A14">
        <v>5</v>
      </c>
      <c r="B14" t="str">
        <v>Insumos mantiveram-se estritamente dentro dos prazos de validade e especificações?</v>
      </c>
      <c r="F14" t="str">
        <v/>
      </c>
    </row>
    <row r="15">
      <c r="A15" t="str">
        <v>DECISÃO DA COMISSÃO DE REQUALIFICAÇÃO</v>
      </c>
    </row>
    <row r="16">
      <c r="A16" t="str">
        <v>Decisão</v>
      </c>
    </row>
    <row r="17">
      <c r="A17" t="str">
        <v>Avaliador/Coordenador do CQ (assinatura)</v>
      </c>
    </row>
    <row r="18">
      <c r="A18" t="str">
        <v>Homologação/Responsável Técnico (assinatura)</v>
      </c>
    </row>
  </sheetData>
  <ignoredErrors>
    <ignoredError numberStoredAsText="1" sqref="A1:F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{{EMPRESA}} — SISTEMA DE GESTÃO DO AUTOCONTROLE (BPF)</v>
      </c>
    </row>
    <row r="2">
      <c r="A2" t="str">
        <v>INSTRUÇÃO DE TRABALHO — ANÁLISE DE MATÉRIAS-PRIMAS</v>
      </c>
    </row>
    <row r="3">
      <c r="A3" t="str">
        <v>IT 14 · Revisão {{REVISAO}} · Data de Vigor: {{DATA_VIGOR}} · DOCUMENTO DE CIRCULAÇÃO INTERNA</v>
      </c>
    </row>
    <row r="5">
      <c r="A5" t="str">
        <v>1. OBJETIVO OPERACIONAL</v>
      </c>
    </row>
    <row r="6">
      <c r="A6" t="str">
        <v>Padronizar a rotina de recepção de amostras, preparo, ensaios físico-químicos e microscópicos e guarda de contraprovas, em atendimento aos arts. 68 a 76 do Decreto nº 12.031/2024 e itens 15, 17 e 20 do Manual de Fiscalização de Autocontroles.</v>
      </c>
    </row>
    <row r="7">
      <c r="A7" t="str">
        <v>2. FLUXO OPERACIONAL LABORATORIAL</v>
      </c>
    </row>
    <row r="8">
      <c r="A8" t="str">
        <v>2.1 Recepção da Amostra</v>
      </c>
      <c r="B8" t="str">
        <v>Conferir lacre; registrar entrada no sistema.</v>
      </c>
    </row>
    <row r="9">
      <c r="A9" t="str">
        <v>2.2 Homogeneização e Moagem</v>
      </c>
      <c r="B9" t="str">
        <v>Quarteamento; moinho de facas com peneira de 1 mm.</v>
      </c>
    </row>
    <row r="10">
      <c r="A10" t="str">
        <v>2.3 Ensaios Obrigatórios Imediatos</v>
      </c>
      <c r="B10" t="str">
        <v>Teor de Umidade (infravermelho 105 ºC até peso constante); Densidade/Peso Hectolítrico (grãos); Microscopia e Teste de Impurezas (estereomicroscópio).</v>
      </c>
    </row>
    <row r="11">
      <c r="A11" t="str">
        <v>2.4 Ensaios Bromatológicos de Rotina</v>
      </c>
      <c r="B11" t="str">
        <v>Proteína Bruta (Kjeldahl); Extrato Etéreo (Soxhlet); Matéria Mineral (Mufla 550 ºC); Fibra Bruta.</v>
      </c>
    </row>
    <row r="12">
      <c r="A12" t="str">
        <v>2.5 Guarda de Contraprovas</v>
      </c>
      <c r="B12" t="str">
        <v>Embalagens aluminizadas termossoldadas, identificadas, armazenadas a 20 ºC ± 3 ºC pelo prazo de validade do lote.</v>
      </c>
    </row>
    <row r="13">
      <c r="A13" t="str">
        <v>TABELA DE PARÂMETROS MÍNIMOS POR CATEGORIA DE INSUMO</v>
      </c>
    </row>
    <row r="14">
      <c r="A14" t="str">
        <v>Categoria</v>
      </c>
      <c r="B14" t="str">
        <v>Parâmetros de Recebimento</v>
      </c>
      <c r="C14" t="str">
        <v>Parâmetros de Rotina/Complementares</v>
      </c>
      <c r="D14" t="str">
        <v>Frequência</v>
      </c>
      <c r="E14" t="str">
        <v/>
      </c>
      <c r="F14" t="str">
        <v/>
      </c>
    </row>
    <row r="15">
      <c r="A15" t="str">
        <v>Grãos a Granel</v>
      </c>
      <c r="B15" t="str">
        <v>Umidade máx 14%; Impurezas máx 1,5%; Grãos avariados máx 4%</v>
      </c>
      <c r="D15" t="str">
        <v>Teste rápido de micotoxinas — anexar tela/boostro</v>
      </c>
      <c r="E15" t="str">
        <v>Lote a lote</v>
      </c>
    </row>
    <row r="16">
      <c r="A16" t="str">
        <v>Farelos Proteicos Vegetais</v>
      </c>
      <c r="B16" t="str">
        <v>Umidade; PB; FB; EE</v>
      </c>
      <c r="D16" t="str">
        <v>Atividade Ureática 0,05–0,20 ΔpH</v>
      </c>
      <c r="E16" t="str">
        <v>Lote a lote</v>
      </c>
    </row>
    <row r="17">
      <c r="A17" t="str">
        <v>Farinhas de Origem Animal</v>
      </c>
      <c r="B17" t="str">
        <v>Umidade; PB; MM; Acidez no EE</v>
      </c>
      <c r="D17" t="str">
        <v>Digestibilidade em Pepsina 0,2%; Microscopia; Salmonella sp. ausência em 25 g</v>
      </c>
      <c r="E17" t="str">
        <v>Lote a lote</v>
      </c>
    </row>
    <row r="18">
      <c r="A18" t="str">
        <v>Premixes/Núcleos/Aditivos</v>
      </c>
      <c r="B18" t="str">
        <v>Conferência de Certificado de Análise</v>
      </c>
      <c r="D18" t="str">
        <v>Contra-análise mensal em laboratório credenciado</v>
      </c>
      <c r="E18" t="str">
        <v>Lote a lote</v>
      </c>
    </row>
    <row r="19">
      <c r="A19" t="str">
        <v>Minerais</v>
      </c>
      <c r="B19" t="str">
        <v>Teor de Flúor</v>
      </c>
      <c r="D19" t="str">
        <v>Solubilidade em Ácido Cítrico 2%; Metais Pesados</v>
      </c>
      <c r="E19" t="str">
        <v>A cada 5 lotes / semestral</v>
      </c>
    </row>
    <row r="20">
      <c r="A20" t="str">
        <v>Embalagens Primárias</v>
      </c>
      <c r="B20" t="str">
        <v>Inspeção visual de integridade</v>
      </c>
      <c r="D20" t="str">
        <v>Laudo de atoxidade</v>
      </c>
      <c r="E20" t="str">
        <v>Lote a lote</v>
      </c>
    </row>
  </sheetData>
  <ignoredErrors>
    <ignoredError numberStoredAsText="1" sqref="A1:F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{{EMPRESA}} — SISTEMA DE GESTÃO DO AUTOCONTROLE (BPF)</v>
      </c>
    </row>
    <row r="2">
      <c r="A2" t="str">
        <v>CHECKLIST DE AUDITORIA/VISITA TÉCNICA A FORNECEDORES</v>
      </c>
    </row>
    <row r="3">
      <c r="A3" t="str">
        <v>CK-FORN · Revisão {{REVISAO}} · Data de Vigor: {{DATA_VIGOR}} · DOCUMENTO DE CIRCULAÇÃO INTERNA</v>
      </c>
    </row>
    <row r="5">
      <c r="A5" t="str">
        <v>Fornecedor/Razão Social</v>
      </c>
    </row>
    <row r="6">
      <c r="A6" t="str">
        <v>Data da Auditoria</v>
      </c>
    </row>
    <row r="7">
      <c r="A7" t="str">
        <v>Registro MAPA nº</v>
      </c>
    </row>
    <row r="8">
      <c r="A8" t="str">
        <v>Auditor Líder</v>
      </c>
    </row>
    <row r="9">
      <c r="A9" t="str">
        <v>Item</v>
      </c>
      <c r="B9" t="str">
        <v>Requisito Avaliado</v>
      </c>
      <c r="C9" t="str">
        <v>Avaliação</v>
      </c>
      <c r="D9" t="str">
        <v>Observações/Evidências</v>
      </c>
      <c r="E9" t="str">
        <v/>
      </c>
      <c r="F9" t="str">
        <v/>
      </c>
    </row>
    <row r="10">
      <c r="A10" t="str">
        <v>1.0</v>
      </c>
      <c r="B10" t="str">
        <v>Instalações Físicas — iluminação protegida, ventilação, pisos e paredes impermeáveis, telas milimétricas</v>
      </c>
      <c r="C10" t="str">
        <v/>
      </c>
      <c r="D10" t="str">
        <v/>
      </c>
    </row>
    <row r="11">
      <c r="A11" t="str">
        <v>2.0</v>
      </c>
      <c r="B11" t="str">
        <v>Controle de Pragas — programa estruturado com mapas de armadilhas e laudos vigentes</v>
      </c>
      <c r="C11" t="str">
        <v/>
      </c>
      <c r="D11" t="str">
        <v/>
      </c>
    </row>
    <row r="12">
      <c r="A12" t="str">
        <v>3.0</v>
      </c>
      <c r="B12" t="str">
        <v>Qualidade da Água — cloração controlada e laudos periódicos</v>
      </c>
      <c r="C12" t="str">
        <v/>
      </c>
      <c r="D12" t="str">
        <v/>
      </c>
    </row>
    <row r="13">
      <c r="A13" t="str">
        <v>4.0</v>
      </c>
      <c r="B13" t="str">
        <v>Prevenção de Contaminação Cruzada — fluxos lineares, segregação de MP de risco, validação de limpeza</v>
      </c>
      <c r="C13" t="str">
        <v/>
      </c>
      <c r="D13" t="str">
        <v/>
      </c>
    </row>
    <row r="14">
      <c r="A14" t="str">
        <v>5.0</v>
      </c>
      <c r="B14" t="str">
        <v>Substâncias Proibidas — controle de ausência de substâncias banidas e declaração formal</v>
      </c>
      <c r="C14" t="str">
        <v/>
      </c>
      <c r="D14" t="str">
        <v/>
      </c>
    </row>
    <row r="15">
      <c r="A15" t="str">
        <v>6.0</v>
      </c>
      <c r="B15" t="str">
        <v>Controle de Ractopamina — instalações dedicadas ou procedimentos validados de segregação</v>
      </c>
      <c r="C15" t="str">
        <v/>
      </c>
      <c r="D15" t="str">
        <v/>
      </c>
    </row>
    <row r="16">
      <c r="A16" t="str">
        <v>7.0</v>
      </c>
      <c r="B16" t="str">
        <v>Rastreabilidade e Registros — reconstituição de lote à montante e jusante em prazo inferior a 2 horas</v>
      </c>
      <c r="C16" t="str">
        <v/>
      </c>
      <c r="D16" t="str">
        <v/>
      </c>
    </row>
    <row r="17">
      <c r="A17" t="str">
        <v>8.0</v>
      </c>
      <c r="B17" t="str">
        <v>Laboratório e Controle de Qualidade — estrutura analítica compatível com RTIQs e retenção de contraprovas</v>
      </c>
      <c r="C17" t="str">
        <v/>
      </c>
      <c r="D17" t="str">
        <v/>
      </c>
    </row>
    <row r="18">
      <c r="A18" t="str">
        <v>RESULTADO DA AUDITORIA</v>
      </c>
    </row>
    <row r="19">
      <c r="A19" t="str">
        <v>Pontuação Final Obtida (%)</v>
      </c>
      <c r="C19" t="str">
        <v>Conformes</v>
      </c>
      <c r="D19">
        <f>COUNTIF(C10:C17,"C")</f>
        <v>0</v>
      </c>
    </row>
    <row r="20">
      <c r="A20" t="str">
        <v>Classificação</v>
      </c>
      <c r="C20" t="str">
        <v>Não conformes</v>
      </c>
      <c r="D20">
        <f>COUNTIF(C10:C17,"NC")</f>
        <v>0</v>
      </c>
    </row>
    <row r="21">
      <c r="A21" t="str">
        <v>Plano de Ação (se aplicável)</v>
      </c>
    </row>
    <row r="22">
      <c r="A22" t="str">
        <v>Assinatura do Auditor Líder</v>
      </c>
    </row>
  </sheetData>
  <ignoredErrors>
    <ignoredError numberStoredAsText="1" sqref="A1:F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{{EMPRESA}} — SISTEMA DE GESTÃO DO AUTOCONTROLE (BPF)</v>
      </c>
    </row>
    <row r="2">
      <c r="A2" t="str">
        <v>MATRIZ DE RISCO DE MATÉRIAS-PRIMAS E INGREDIENTES (APPCC)</v>
      </c>
    </row>
    <row r="3">
      <c r="A3" t="str">
        <v>MAT-RISCO · Revisão {{REVISAO}} · Data de Vigor: {{DATA_VIGOR}} · DOCUMENTO DE CIRCULAÇÃO INTERNA</v>
      </c>
    </row>
    <row r="5">
      <c r="A5" t="str">
        <v>Categoria de Insumo</v>
      </c>
      <c r="B5" t="str">
        <v>Principais Perigos Identificados (APPCC)</v>
      </c>
      <c r="C5" t="str">
        <v>Classe de Risco</v>
      </c>
      <c r="D5" t="str">
        <v>Parâmetros Críticos de Monitoramento</v>
      </c>
      <c r="E5" t="str">
        <v>Frequência Mínima de Análises</v>
      </c>
    </row>
    <row r="6">
      <c r="A6" t="str">
        <v>Farinhas de Origem Animal</v>
      </c>
      <c r="B6" t="str">
        <v>Biológico: Salmonella sp., Clostridium; Químico: rancidez oxidativa, metais pesados, contaminação cruzada EEB</v>
      </c>
      <c r="C6" t="str">
        <v>Alto</v>
      </c>
      <c r="D6" t="str">
        <v>Ausência de Salmonella/25g; Acidez do Óleo; Microscopia para ossos/pelos de ruminantes; Peróxido</v>
      </c>
      <c r="E6" t="str">
        <v>Lote a lote</v>
      </c>
    </row>
    <row r="7">
      <c r="A7" t="str">
        <v>Grãos Integrais e Subprodutos</v>
      </c>
      <c r="B7" t="str">
        <v>Biológico: fungos filamentosos; Químico: aflatoxinas, fumonisinas, zearalenona, agrotóxicos residuais</v>
      </c>
      <c r="C7" t="str">
        <v>Alto</v>
      </c>
      <c r="D7" t="str">
        <v>Umidade &lt;14%; Densidade (PH); Pesquisa quantitativa de micotoxinas; Impurezas</v>
      </c>
      <c r="E7" t="str">
        <v>Umidade lote a lote; Micotoxinas semanalmente por fornecedor</v>
      </c>
    </row>
    <row r="8">
      <c r="A8" t="str">
        <v>Medicamentos e Aditivos Ativos</v>
      </c>
      <c r="B8" t="str">
        <v>Químico: superdosagem, subdosagem, carreamento para espécies não-alvo</v>
      </c>
      <c r="C8" t="str">
        <v>Alto</v>
      </c>
      <c r="D8" t="str">
        <v>Teor de princípio ativo (HPLC); granulometria; homogeneidade</v>
      </c>
      <c r="E8" t="str">
        <v>Laudo do fabricante lote a lote + contra-análise trimestral</v>
      </c>
    </row>
    <row r="9">
      <c r="A9" t="str">
        <v>Fontes Minerais</v>
      </c>
      <c r="B9" t="str">
        <v>Químico: flúor, chumbo, cádmio, arsênio, mercúrio</v>
      </c>
      <c r="C9" t="str">
        <v>Médio</v>
      </c>
      <c r="D9" t="str">
        <v>Teor de fósforo, cálcio; relação F/P &lt;1:100; metais pesados</v>
      </c>
      <c r="E9" t="str">
        <v>Macro-elementos lote a lote; metais pesados semestral</v>
      </c>
    </row>
    <row r="10">
      <c r="A10" t="str">
        <v>Materiais de Embalagem Primária</v>
      </c>
      <c r="B10" t="str">
        <v>Físico: fios plásticos, grampos, poeira; Químico: migração de tintas</v>
      </c>
      <c r="C10" t="str">
        <v>Baixo</v>
      </c>
      <c r="D10" t="str">
        <v>Inspeção visual de limpeza; gramatura; resistência mecânica; laudo de atoxidade</v>
      </c>
      <c r="E10" t="str">
        <v>A cada lote recebido</v>
      </c>
    </row>
    <row r="11">
      <c r="A11" t="str">
        <v>Nota: A categorização de risco baseia-se na identificação de perigos biológicos, químicos e físicos (art. 10 do Decreto nº 12.031/2024 e itens 19 e 29 do Manual de Fiscalização de Autocontroles).</v>
      </c>
    </row>
  </sheetData>
  <ignoredErrors>
    <ignoredError numberStoredAsText="1" sqref="A1:E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sheetData>
    <row r="1">
      <c r="A1" t="str">
        <v>{{EMPRESA}} — SISTEMA DE GESTÃO DO AUTOCONTROLE (BPF)</v>
      </c>
    </row>
    <row r="2">
      <c r="A2" t="str">
        <v>DECLARAÇÃO DE CONFORMIDADE DO FORNECEDOR</v>
      </c>
    </row>
    <row r="3">
      <c r="A3" t="str">
        <v>DEC-CONF · Revisão {{REVISAO}} · Data de Vigor: {{DATA_VIGOR}} · DOCUMENTO DE CIRCULAÇÃO INTERNA</v>
      </c>
    </row>
    <row r="5">
      <c r="A5" t="str">
        <v>À empresa</v>
      </c>
    </row>
    <row r="6">
      <c r="A6" t="str">
        <v>Empresa fornecedora (razão social)</v>
      </c>
    </row>
    <row r="7">
      <c r="A7" t="str">
        <v>CNPJ</v>
      </c>
    </row>
    <row r="8">
      <c r="A8" t="str">
        <v>Endereço do estabelecimento fabril</v>
      </c>
    </row>
    <row r="9">
      <c r="A9" t="str">
        <v>Registro no MAPA nº</v>
      </c>
    </row>
    <row r="10">
      <c r="A10" t="str">
        <v>DECLARAÇÕES</v>
      </c>
    </row>
    <row r="11">
      <c r="A11" t="str">
        <v>1. A empresa fornecedora cumpre o Decreto nº 12.031/2024 e a IN MAPA nº 04/2007, mantendo programa de BPF e Autocontrole operacionais.</v>
      </c>
    </row>
    <row r="12">
      <c r="A12" t="str">
        <v>2. As matérias-primas e ingredientes fornecidos são isentos de substâncias proibidas (cloranfenicol, nitrofuranos, violeta de genciana).</v>
      </c>
    </row>
    <row r="13">
      <c r="A13" t="str">
        <v>3. Não utiliza resíduos de estabelecimentos comerciais varejistas na elaboração de insumos de origem animal (item 19 do Manual).</v>
      </c>
    </row>
    <row r="14">
      <c r="A14" t="str">
        <v>4. Controle de Ractopamina (assinalar uma das opções):</v>
      </c>
    </row>
    <row r="15">
      <c r="A15" t="str">
        <v xml:space="preserve">    ( ) consta na lista de estabelecimentos aptos a fornecer produtos sem ractopamina emitida pelo MAPA</v>
      </c>
    </row>
    <row r="16">
      <c r="A16" t="str">
        <v xml:space="preserve">    ( ) não manipula, não estoca e não processa ractopamina</v>
      </c>
    </row>
    <row r="17">
      <c r="A17" t="str">
        <v xml:space="preserve">    ( ) possui linha fabril dedicada e validada como isenta</v>
      </c>
    </row>
    <row r="18">
      <c r="A18" t="str">
        <v>5. Compromete-se a notificar a compradora em até 24 horas sobre alterações cadastrais, suspensão de licenças ou desvios de qualidade.</v>
      </c>
    </row>
    <row r="19">
      <c r="A19" t="str">
        <v>DADOS DO RESPONSÁVEL TÉCNICO</v>
      </c>
    </row>
    <row r="20">
      <c r="A20" t="str">
        <v>Local e Data</v>
      </c>
    </row>
    <row r="21">
      <c r="A21" t="str">
        <v>Nome do RT do fornecedor</v>
      </c>
    </row>
    <row r="22">
      <c r="A22" t="str">
        <v>Título Profissional</v>
      </c>
    </row>
    <row r="23">
      <c r="A23" t="str">
        <v>Nº Registro de Classe</v>
      </c>
    </row>
    <row r="24">
      <c r="A24" t="str">
        <v>Assinatura e Carimbo</v>
      </c>
    </row>
  </sheetData>
  <ignoredErrors>
    <ignoredError numberStoredAsText="1" sqref="A1:A2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{{EMPRESA}} — SISTEMA DE GESTÃO DO AUTOCONTROLE (BPF)</v>
      </c>
    </row>
    <row r="2">
      <c r="A2" t="str">
        <v>REGISTRO DE NÃO CONFORMIDADE</v>
      </c>
    </row>
    <row r="3">
      <c r="A3" t="str">
        <v>FR 01 · Revisão {{REVISAO}} · Data de Vigor: {{DATA_VIGOR}} · DOCUMENTO DE CIRCULAÇÃO INTERNA</v>
      </c>
    </row>
    <row r="5">
      <c r="A5" t="str">
        <v>Nº da RNC</v>
      </c>
    </row>
    <row r="6">
      <c r="A6" t="str">
        <v>Data da Ocorrência</v>
      </c>
    </row>
    <row r="7">
      <c r="A7" t="str">
        <v>Origem</v>
      </c>
    </row>
    <row r="8">
      <c r="A8" t="str">
        <v>Grau</v>
      </c>
    </row>
    <row r="9">
      <c r="A9" t="str">
        <v>Fornecedor</v>
      </c>
    </row>
    <row r="10">
      <c r="A10" t="str">
        <v>Produto/Matéria-Prima</v>
      </c>
    </row>
    <row r="11">
      <c r="A11" t="str">
        <v>Lote Fornecedor</v>
      </c>
    </row>
    <row r="12">
      <c r="A12" t="str">
        <v>Lote Interno</v>
      </c>
    </row>
    <row r="13">
      <c r="A13" t="str">
        <v>Qtd Afetada (kg)</v>
      </c>
    </row>
    <row r="14">
      <c r="A14" t="str">
        <v>Nota Fiscal</v>
      </c>
    </row>
    <row r="15">
      <c r="A15" t="str">
        <v>DESCRIÇÃO DETALHADA DA NÃO CONFORMIDADE</v>
      </c>
    </row>
    <row r="21">
      <c r="A21" t="str">
        <v>Disposição Imediata do Lote</v>
      </c>
    </row>
    <row r="22">
      <c r="A22" t="str">
        <v>ANÁLISE DE CAUSA-RAIZ (ISHIKAWA / 5 PORQUÊS)</v>
      </c>
    </row>
    <row r="28">
      <c r="A28" t="str">
        <v>PLANO DE AÇÃO CORRETIVA E PREVENTIVA (CAPA)</v>
      </c>
    </row>
    <row r="29">
      <c r="A29" t="str">
        <v>Ação Proposta</v>
      </c>
      <c r="B29" t="str">
        <v>Responsável</v>
      </c>
      <c r="C29" t="str">
        <v>Prazo Limite</v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>VERIFICAÇÃO DA EFICÁCIA</v>
      </c>
    </row>
    <row r="34">
      <c r="A34" t="str">
        <v>Data de Avaliação</v>
      </c>
    </row>
    <row r="35">
      <c r="A35" t="str">
        <v>Parecer</v>
      </c>
    </row>
    <row r="36">
      <c r="A36" t="str">
        <v>Assinatura do Coordenador do CQ</v>
      </c>
    </row>
  </sheetData>
  <ignoredErrors>
    <ignoredError numberStoredAsText="1" sqref="A1:F3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{{EMPRESA}} — SISTEMA DE GESTÃO DO AUTOCONTROLE (BPF)</v>
      </c>
    </row>
    <row r="2">
      <c r="A2" t="str">
        <v>PAINEL DE INDICADORES — POP 01 QUALIFICAÇÃO DE FORNECEDORES E CONTROLE DE MATÉRIAS-PRIMAS, INGREDIENTES E DE EMBALAGENS</v>
      </c>
    </row>
    <row r="3">
      <c r="A3" t="str">
        <v>Código: POP01-PAINEL | Revisão: {{REVISAO}} | Data de Vigor: {{DATA_VIGOR}} | DOCUMENTO DE CIRCULAÇÃO INTERNA</v>
      </c>
    </row>
    <row r="5">
      <c r="A5" t="str">
        <v>INDICADORES DE GESTÃO DO AUTOCONTROLE (SEÇÃO 14 DO POP 01)</v>
      </c>
    </row>
    <row r="6">
      <c r="A6" t="str">
        <v>Indicador</v>
      </c>
      <c r="B6" t="str">
        <v>Fórmula/Métrica</v>
      </c>
      <c r="C6" t="str">
        <v>Valor Calculado</v>
      </c>
      <c r="D6" t="str">
        <v>Meta do POP 01</v>
      </c>
      <c r="E6" t="str">
        <v>Status</v>
      </c>
    </row>
    <row r="7">
      <c r="A7" t="str">
        <v>Índice de Devolução de Matérias-Primas (IDMP)</v>
      </c>
      <c r="B7" t="str">
        <v>%= (Qtd descartada em FR18)/(Qtd recebida em FR08)×100%</v>
      </c>
      <c r="C7">
        <f>IFERROR(SUM('FR18_Descarte'!E5:E10)/IF('FR08_Recebimento'!B18=0,0,'FR08_Recebimento'!B18)*100,0)</f>
        <v>0</v>
      </c>
      <c r="D7" t="str">
        <v>≤ 0,5%</v>
      </c>
      <c r="E7">
        <f>IF(C7="","—",IF(C7&lt;=0.5,"Dentro da meta","Fora da meta"))</f>
        <v>0</v>
      </c>
    </row>
    <row r="8">
      <c r="A8" t="str">
        <v>Índice de Não Conformidades no Recebimento (INCR)</v>
      </c>
      <c r="B8" t="str">
        <v>%= (blocos FR08 c/ PARECER≠LIBERADO)/(total blocos)×100%</v>
      </c>
      <c r="C8">
        <f>IFERROR(COUNTIF('FR08_Recebimento'!B39,"&lt;&gt;LIBERADO PARA DESCARGA")/(COUNTA('FR08_Recebimento'!B5:B39))*100,0)</f>
        <v>0</v>
      </c>
      <c r="D8" t="str">
        <v>≤ 1,5%</v>
      </c>
      <c r="E8">
        <f>IF(C8="","—",IF(C8&lt;=1.5,"Dentro da meta","Fora da meta"))</f>
        <v>0</v>
      </c>
    </row>
    <row r="9">
      <c r="A9" t="str">
        <v>Não Conformidades Registradas (RNC)</v>
      </c>
      <c r="B9" t="str">
        <v>nº de formulários FR01 com Nº da RNC preenchido · meta &lt; 2/mês</v>
      </c>
      <c r="C9">
        <f>COUNTA('FR01_RNC'!B5:B40)</f>
        <v>0</v>
      </c>
      <c r="D9" t="str">
        <v>acomp. mensal · meta &lt; 2</v>
      </c>
      <c r="E9">
        <f>IF(C9="","—",IF(C9&lt;=1,"Dentro da meta","Atenção"))</f>
        <v>0</v>
      </c>
    </row>
    <row r="10">
      <c r="A10" t="str">
        <v>RNCs Críticas</v>
      </c>
      <c r="B10" t="str">
        <v>nº de RNCs com Grau = Crítico (FR01) · meta 0</v>
      </c>
      <c r="C10">
        <f>COUNTIF('FR01_RNC'!B7:B40,"Crítico")</f>
        <v>0</v>
      </c>
      <c r="D10" t="str">
        <v>0</v>
      </c>
      <c r="E10">
        <f>IF(C10="","—",IF(C10=0,"Dentro da meta","Fora da meta"))</f>
        <v>0</v>
      </c>
    </row>
    <row r="11">
      <c r="A11" t="str">
        <v>Conformidade Documental de Fornecedores (CDF)</v>
      </c>
      <c r="B11" t="str">
        <v>%= (Status=Ativo)/(total cadastrados FR14)×100%</v>
      </c>
      <c r="C11">
        <f>IFERROR(COUNTIF('FR14_ListaFornecedores'!G5:G24,"Ativo")/(COUNTA('FR14_ListaFornecedores'!G5:G24))*100,0)</f>
        <v>0</v>
      </c>
      <c r="D11" t="str">
        <v>100%</v>
      </c>
      <c r="E11">
        <f>IF(C11="","—",IF(C11=100,"Dentro da meta","Fora da meta"))</f>
        <v>0</v>
      </c>
    </row>
    <row r="12">
      <c r="A12" t="str">
        <v>Fornecedores com Documentação Vencida</v>
      </c>
      <c r="B12" t="str">
        <v>nº de linhas FR14 c/ Validade &lt; TODAY() · meta 0</v>
      </c>
      <c r="C12">
        <f>SUMPRODUCT(('FR14_ListaFornecedores'!F5:F24&lt;&gt;"")*('FR14_ListaFornecedores'!F5:F24&lt;TODAY()))</f>
        <v>0</v>
      </c>
      <c r="D12" t="str">
        <v>0</v>
      </c>
      <c r="E12">
        <f>IF(C12="","—",IF(C12=0,"OK","Vencido"))</f>
        <v>0</v>
      </c>
    </row>
    <row r="13">
      <c r="A13" t="str">
        <v>Fornecedores Suspensos/Desqualificados</v>
      </c>
      <c r="B13" t="str">
        <v>nº de linhas FR14 com Status = Suspenso · meta 0</v>
      </c>
      <c r="C13">
        <f>COUNTIF('FR14_ListaFornecedores'!G5:G24,"Suspenso")</f>
        <v>0</v>
      </c>
      <c r="D13" t="str">
        <v>0</v>
      </c>
      <c r="E13">
        <f>IF(C13="","—",IF(C13=0,"OK","Atenção"))</f>
        <v>0</v>
      </c>
    </row>
    <row r="14">
      <c r="A14" t="str">
        <v>Índice de Lotes Fora de Especificação (ILFE)</v>
      </c>
      <c r="B14" t="str">
        <v>%= (aval. sensorial c/ Parecer=Reprovado)/(total FR08)×100%</v>
      </c>
      <c r="C14">
        <f>IFERROR(COUNTIF('FR08_Recebimento'!D34:D38,"Reprovado")/(COUNTA('FR08_Recebimento'!D34:D38))*100,0)</f>
        <v>0</v>
      </c>
      <c r="D14" t="str">
        <v>≤ 0,8%</v>
      </c>
      <c r="E14">
        <f>IF(C14="","—",IF(C14&lt;=0.8,"Dentro da meta","Fora da meta"))</f>
        <v>0</v>
      </c>
    </row>
    <row r="15">
      <c r="A15" t="str">
        <v>Registros de Temperatura/Umidade Conformes</v>
      </c>
      <c r="B15" t="str">
        <v>%= (células SIM em Conforme)/(linhas monitoradas FR15)×100%</v>
      </c>
      <c r="C15">
        <f>IFERROR(COUNTIF('FR15_TempUmidade'!I6:I36,"SIM")/(COUNTA('FR15_TempUmidade'!I6:I36))*100,0)</f>
        <v>0</v>
      </c>
      <c r="D15" t="str">
        <v>100%</v>
      </c>
      <c r="E15">
        <f>IF(C15="","—",IF(C15=100,"Dentro da meta","Fora da meta"))</f>
        <v>0</v>
      </c>
    </row>
    <row r="16">
      <c r="A16" t="str">
        <v>Descarte por Validade Vencida</v>
      </c>
      <c r="B16" t="str">
        <v>soma de Qtd em FR18 onde Motivo = Validade Vencida · meta 0</v>
      </c>
      <c r="C16">
        <f>IF('FR18_Descarte'!B5="Validade Vencida",SUMPRODUCT(N(ISNUMBER('FR18_Descarte'!E7:E10))*'FR18_Descarte'!E7:E10),0)</f>
        <v>0</v>
      </c>
      <c r="D16" t="str">
        <v>zero descarte por validade</v>
      </c>
      <c r="E16">
        <f>IF(C16="","—",IF(C16=0,"OK","Atenção"))</f>
        <v>0</v>
      </c>
    </row>
    <row r="18">
      <c r="A18" t="str">
        <v>VISÃO GERAL DOS REGISTROS</v>
      </c>
    </row>
    <row r="19">
      <c r="A19" t="str">
        <v>Registro</v>
      </c>
      <c r="B19" t="str">
        <v>Total de Registros</v>
      </c>
      <c r="C19" t="str">
        <v>Últimos 30 Dias</v>
      </c>
      <c r="D19" t="str">
        <v/>
      </c>
      <c r="E19" t="str">
        <v/>
      </c>
    </row>
    <row r="20">
      <c r="A20" t="str">
        <v>Recebimentos (FR08)</v>
      </c>
      <c r="B20">
        <f>IF(COUNTA('FR08_Recebimento'!B5:B39)=0,0,1)</f>
        <v>0</v>
      </c>
      <c r="C20">
        <f>IF(COUNTA('FR08_Recebimento'!B5:B39)=0,"—",TEXT(TODAY(),"DD/MM"))</f>
        <v>0</v>
      </c>
    </row>
    <row r="21">
      <c r="A21" t="str">
        <v>RNCs (FR01)</v>
      </c>
      <c r="B21">
        <f>COUNT('FR01_RNC'!B5:B40)</f>
        <v>0</v>
      </c>
      <c r="C21" t="str">
        <v>—</v>
      </c>
    </row>
    <row r="22">
      <c r="A22" t="str">
        <v>Descarte/Devoluções (FR18)</v>
      </c>
      <c r="B22">
        <f>COUNT('FR18_Descarte'!E5:E10)</f>
        <v>2</v>
      </c>
      <c r="C22" t="str">
        <v>—</v>
      </c>
    </row>
    <row r="23">
      <c r="A23" t="str">
        <v>Fornecedores cadastrados (FR14)</v>
      </c>
      <c r="B23">
        <f>COUNTA('FR14_ListaFornecedores'!A5:A24)</f>
        <v>5</v>
      </c>
      <c r="C23" t="str">
        <v>—</v>
      </c>
    </row>
    <row r="24">
      <c r="A24" t="str">
        <v>Monitoramentos diários (FR15)</v>
      </c>
      <c r="B24">
        <f>COUNT('FR15_TempUmidade'!A6:A36)</f>
        <v>30</v>
      </c>
      <c r="C24" t="str">
        <v>—</v>
      </c>
    </row>
    <row r="27">
      <c r="A27" t="str">
        <v>RESUMO EXECUTIVO</v>
      </c>
    </row>
    <row r="29">
      <c r="A29" t="str">
        <v>% Conformidade de Recebimento</v>
      </c>
    </row>
    <row r="30">
      <c r="A30">
        <f>IFERROR(1-C8,0)</f>
        <v>0</v>
      </c>
    </row>
    <row r="31">
      <c r="A31" t="str">
        <v>Total de RNCs</v>
      </c>
    </row>
    <row r="32">
      <c r="A32">
        <f>IFERROR(C9,"—")</f>
        <v>0</v>
      </c>
    </row>
    <row r="33">
      <c r="A33" t="str">
        <v>Fornecedores Ativos</v>
      </c>
    </row>
    <row r="34">
      <c r="A34">
        <f>IFERROR(C11,"—")</f>
        <v>0</v>
      </c>
    </row>
    <row r="35">
      <c r="A35" t="str">
        <v>Fornecedores Vencidos</v>
      </c>
    </row>
    <row r="36">
      <c r="A36">
        <f>IFERROR(C12,"—")</f>
        <v>0</v>
      </c>
    </row>
    <row r="37">
      <c r="A37" t="str">
        <v>Total Descartado (kg)</v>
      </c>
    </row>
    <row r="38">
      <c r="A38">
        <f>IFERROR(C7/100*IF('FR08_Recebimento'!B18=0,0,'FR08_Recebimento'!B18),0)</f>
        <v>0</v>
      </c>
    </row>
    <row r="39">
      <c r="A39" t="str">
        <v>% Conformidade Térmica</v>
      </c>
    </row>
    <row r="40">
      <c r="A40">
        <f>IFERROR(C15,0)</f>
        <v>0</v>
      </c>
    </row>
    <row r="43">
      <c r="A43" t="str">
        <v>Indicadores calculados automaticamente a partir dos registros das abas FR08, FR14, FR15, FR18 e FR01. Mantenha os formulários atualizados para que os valores reflitam a realidade do estabelecimento. Os registros digitais devem permanecer disponíveis à fiscalização (item 20 do Manual de Fiscalização de Autocontroles – MAPA/SDA).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Instrucoes</vt:lpstr>
      <vt:lpstr>FR08_Recebimento</vt:lpstr>
      <vt:lpstr>FR14_ListaFornecedores</vt:lpstr>
      <vt:lpstr>FR15_TempUmidade</vt:lpstr>
      <vt:lpstr>FR16_Qualificacao</vt:lpstr>
      <vt:lpstr>FR18_Descarte</vt:lpstr>
      <vt:lpstr>FR19_Verificacao</vt:lpstr>
      <vt:lpstr>IT14_AnaliseMP</vt:lpstr>
      <vt:lpstr>A8_ChecklistAuditoria</vt:lpstr>
      <vt:lpstr>A9_MatrizRisco</vt:lpstr>
      <vt:lpstr>A10_Declaracao</vt:lpstr>
      <vt:lpstr>FR01_RNC</vt:lpstr>
      <vt:lpstr>PAINEL_Indicadores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